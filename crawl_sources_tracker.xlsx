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s" sheetId="1" r:id="rId5"/>
    <sheet state="visible" name="Summary" sheetId="2" r:id="rId6"/>
    <sheet state="visible" name="Lists" sheetId="3" r:id="rId7"/>
    <sheet state="visible" name="Pipeline Notes" sheetId="4" r:id="rId8"/>
  </sheets>
  <definedNames/>
  <calcPr/>
</workbook>
</file>

<file path=xl/sharedStrings.xml><?xml version="1.0" encoding="utf-8"?>
<sst xmlns="http://schemas.openxmlformats.org/spreadsheetml/2006/main" count="772" uniqueCount="356">
  <si>
    <t>source_id</t>
  </si>
  <si>
    <t>domain</t>
  </si>
  <si>
    <t>subdomain</t>
  </si>
  <si>
    <t>source_name</t>
  </si>
  <si>
    <t>url</t>
  </si>
  <si>
    <t>source_type</t>
  </si>
  <si>
    <t>crawler</t>
  </si>
  <si>
    <t>priority</t>
  </si>
  <si>
    <t>authority_level</t>
  </si>
  <si>
    <t>crawl_frequency</t>
  </si>
  <si>
    <t>status</t>
  </si>
  <si>
    <t>output_format</t>
  </si>
  <si>
    <t>note</t>
  </si>
  <si>
    <t>vietnam_evisa_home</t>
  </si>
  <si>
    <t>C1</t>
  </si>
  <si>
    <t>evisa</t>
  </si>
  <si>
    <t>Vietnam National E-visa Portal</t>
  </si>
  <si>
    <t>https://evisa.gov.vn/</t>
  </si>
  <si>
    <t>html</t>
  </si>
  <si>
    <t>crawl4ai/firecrawl</t>
  </si>
  <si>
    <t>High</t>
  </si>
  <si>
    <t>weekly</t>
  </si>
  <si>
    <t>Planned</t>
  </si>
  <si>
    <t>markdown</t>
  </si>
  <si>
    <t>Official e-visa portal; crawl home and discover instruction/FAQ links</t>
  </si>
  <si>
    <t>vietnam_evisa_instruction</t>
  </si>
  <si>
    <t>evisa_instruction</t>
  </si>
  <si>
    <t>E-visa Instruction</t>
  </si>
  <si>
    <t>https://evisa.gov.vn/instruction</t>
  </si>
  <si>
    <t>Needs Cleaning</t>
  </si>
  <si>
    <t>Detailed e-visa application steps</t>
  </si>
  <si>
    <t>vietnam_evisa_faq</t>
  </si>
  <si>
    <t>evisa_faq</t>
  </si>
  <si>
    <t>E-visa FAQ</t>
  </si>
  <si>
    <t>https://evisa.gov.vn/faq</t>
  </si>
  <si>
    <t>Useful for FAQ-style retrieval</t>
  </si>
  <si>
    <t>xuatnhapcanh_evisa</t>
  </si>
  <si>
    <t>immigration</t>
  </si>
  <si>
    <t>National Portal on Immigration</t>
  </si>
  <si>
    <t>https://evisa.xuatnhapcanh.gov.vn/trang-chu-ttdt</t>
  </si>
  <si>
    <t>Official immigration/e-visa information</t>
  </si>
  <si>
    <t>vietnam_immigration</t>
  </si>
  <si>
    <t>Vietnam Immigration Department</t>
  </si>
  <si>
    <t>https://immigration.gov.vn/</t>
  </si>
  <si>
    <t>Official immigration department website</t>
  </si>
  <si>
    <t>bocongan_services</t>
  </si>
  <si>
    <t>public_service</t>
  </si>
  <si>
    <t>Public Service Portal - Ministry of Public Security</t>
  </si>
  <si>
    <t>https://dichvucong.bocongan.gov.vn/</t>
  </si>
  <si>
    <t>dynamic_html</t>
  </si>
  <si>
    <t>crawl4ai/playwright</t>
  </si>
  <si>
    <t>Medium</t>
  </si>
  <si>
    <t>monthly</t>
  </si>
  <si>
    <t>Administrative procedures; may require dynamic rendering</t>
  </si>
  <si>
    <t>vbpl_legal_docs</t>
  </si>
  <si>
    <t>legal_documents</t>
  </si>
  <si>
    <t>Vietnam Legal Document Database</t>
  </si>
  <si>
    <t>https://vbpl.vn/</t>
  </si>
  <si>
    <t>Legal document lookup; use carefully with targeted pages</t>
  </si>
  <si>
    <t>vinuni_study_visa</t>
  </si>
  <si>
    <t>study_visa</t>
  </si>
  <si>
    <t>VinUni Study Visa Guidelines</t>
  </si>
  <si>
    <t>https://policy.vinuni.edu.vn/all-policies/study-visa-guidelines-for-international-students/</t>
  </si>
  <si>
    <t>VinUni-specific visa guidance for international students</t>
  </si>
  <si>
    <t>us_embassy_entry_exit</t>
  </si>
  <si>
    <t>pre_arrival</t>
  </si>
  <si>
    <t>U.S. Embassy - Vietnamese Visas and Entry/Exit</t>
  </si>
  <si>
    <t>https://vn.usembassy.gov/vietnamese-visas-and-entry-exit/</t>
  </si>
  <si>
    <t>Low</t>
  </si>
  <si>
    <t>quarterly</t>
  </si>
  <si>
    <t>Supplementary pre-arrival advisory; not primary source</t>
  </si>
  <si>
    <t>vinuni_home</t>
  </si>
  <si>
    <t>C4</t>
  </si>
  <si>
    <t>university_overview</t>
  </si>
  <si>
    <t>VinUni Homepage</t>
  </si>
  <si>
    <t>https://vinuni.edu.vn/</t>
  </si>
  <si>
    <t>General university overview and quick links</t>
  </si>
  <si>
    <t>vinuni_about</t>
  </si>
  <si>
    <t>About VinUniversity</t>
  </si>
  <si>
    <t>https://vinuni.edu.vn/about-vinuniversity/</t>
  </si>
  <si>
    <t>Overview, mission, university background</t>
  </si>
  <si>
    <t>vinuni_academics</t>
  </si>
  <si>
    <t>academics_overview</t>
  </si>
  <si>
    <t>VinUni Academics</t>
  </si>
  <si>
    <t>https://vinuni.edu.vn/academics/</t>
  </si>
  <si>
    <t>Academic programs and education model</t>
  </si>
  <si>
    <t>vinuni_our_campus</t>
  </si>
  <si>
    <t>campus_navigation</t>
  </si>
  <si>
    <t>VinUni Our Campus</t>
  </si>
  <si>
    <t>https://vinuni.edu.vn/our-campus/</t>
  </si>
  <si>
    <t>Campus location and overview</t>
  </si>
  <si>
    <t>vinuni_virtual_campus</t>
  </si>
  <si>
    <t>VinUni Virtual Campus Tour</t>
  </si>
  <si>
    <t>https://vinuni.edu.vn/aboutcampus/</t>
  </si>
  <si>
    <t>Campus landmarks, buildings, tour information</t>
  </si>
  <si>
    <t>vinuni_student_gateway</t>
  </si>
  <si>
    <t>student_gateway</t>
  </si>
  <si>
    <t>VinUni Student Gateway</t>
  </si>
  <si>
    <t>https://vinuni.edu.vn/student-gateway/</t>
  </si>
  <si>
    <t>Important hub: calendar, catalog, library, forms, services</t>
  </si>
  <si>
    <t>experience_resources</t>
  </si>
  <si>
    <t>resources</t>
  </si>
  <si>
    <t>Experience VinUni Resources</t>
  </si>
  <si>
    <t>https://experience.vinuni.edu.vn/resources/</t>
  </si>
  <si>
    <t>Resource hub containing maps, SIS, Canvas, calendar links</t>
  </si>
  <si>
    <t>vinuni_campus_services</t>
  </si>
  <si>
    <t>campus_services</t>
  </si>
  <si>
    <t>VinUni Campus Services</t>
  </si>
  <si>
    <t>https://vinuni.edu.vn/campus-services/</t>
  </si>
  <si>
    <t>BeWell, support services, contact points</t>
  </si>
  <si>
    <t>vinuni_registrar_home</t>
  </si>
  <si>
    <t>registrar</t>
  </si>
  <si>
    <t>VinUni Registrar</t>
  </si>
  <si>
    <t>https://registrar.vinuni.edu.vn/</t>
  </si>
  <si>
    <t>Registrar hub</t>
  </si>
  <si>
    <t>vinuni_course_registration</t>
  </si>
  <si>
    <t>course_registration</t>
  </si>
  <si>
    <t>Class Schedule &amp; Course Registration</t>
  </si>
  <si>
    <t>https://registrar.vinuni.edu.vn/academics/class-schedule-course-registration/</t>
  </si>
  <si>
    <t>Course registration guide and schedule info</t>
  </si>
  <si>
    <t>vinuni_forms_petitions</t>
  </si>
  <si>
    <t>forms_petitions</t>
  </si>
  <si>
    <t>Registrar Forms &amp; Petitions</t>
  </si>
  <si>
    <t>https://registrar.vinuni.edu.vn/academics/forms-petitions/</t>
  </si>
  <si>
    <t>Forms, petitions, registry services</t>
  </si>
  <si>
    <t>vinuni_policy_regulations</t>
  </si>
  <si>
    <t>policy_regulations</t>
  </si>
  <si>
    <t>Registrar Policy &amp; Regulations</t>
  </si>
  <si>
    <t>https://registrar.vinuni.edu.vn/academics/policy-regulations/</t>
  </si>
  <si>
    <t>Academic policy and regulations hub</t>
  </si>
  <si>
    <t>vinuni_academic_affairs</t>
  </si>
  <si>
    <t>academic_policy</t>
  </si>
  <si>
    <t>VinUni Policy - Academic Affairs</t>
  </si>
  <si>
    <t>https://policy.vinuni.edu.vn/academic-affairs/</t>
  </si>
  <si>
    <t>Academic affairs policy list</t>
  </si>
  <si>
    <t>vinuni_academic_regulations_undergrad</t>
  </si>
  <si>
    <t>academic_regulations</t>
  </si>
  <si>
    <t>Academic Regulations for Full-Time Undergraduate Programs</t>
  </si>
  <si>
    <t>https://policy.vinuni.edu.vn/all-policies/academic-regulations-for-full-time-undergraduate-programs/</t>
  </si>
  <si>
    <t>Structured policy document; good for heading-based chunking</t>
  </si>
  <si>
    <t>vinuni_academic_calendar_pdf</t>
  </si>
  <si>
    <t>academic_calendar</t>
  </si>
  <si>
    <t>VinUni Academic Calendar PDF</t>
  </si>
  <si>
    <t>https://policy.vinuni.edu.vn/wp-content/uploads/2025/06/VinUni-Academic-Calendar.pdf</t>
  </si>
  <si>
    <t>pdf</t>
  </si>
  <si>
    <t>pdf_downloader</t>
  </si>
  <si>
    <t>markdown/text</t>
  </si>
  <si>
    <t>Download PDF; parse with PyMuPDF/pdfplumber; OCR if needed</t>
  </si>
  <si>
    <t>vinuni_library</t>
  </si>
  <si>
    <t>library</t>
  </si>
  <si>
    <t>VinUni Library</t>
  </si>
  <si>
    <t>https://library.vinuni.edu.vn/</t>
  </si>
  <si>
    <t>Library services and search guidance</t>
  </si>
  <si>
    <t>vinuni_mobile_info_literacy</t>
  </si>
  <si>
    <t>academic_skills</t>
  </si>
  <si>
    <t>VinUni Mobile Information Literacy</t>
  </si>
  <si>
    <t>https://library.vinuni.edu.vn/vinuni-mobile-information-literacy/</t>
  </si>
  <si>
    <t>Search, academic integrity, ChatGPT, note-taking, freshman skills</t>
  </si>
  <si>
    <t>vingroup_home</t>
  </si>
  <si>
    <t>vingroup_context</t>
  </si>
  <si>
    <t>Vingroup</t>
  </si>
  <si>
    <t>https://www.vingroup.net/</t>
  </si>
  <si>
    <t>Background context about Vingroup; supplementary</t>
  </si>
  <si>
    <t>vinuni_global_engagement_brochure</t>
  </si>
  <si>
    <t>international_context</t>
  </si>
  <si>
    <t>VinUni Global Engagement Brochure PDF</t>
  </si>
  <si>
    <t>https://vinuni.edu.vn/wp-content/uploads/2025/04/GE-Brochure-updated-June-2025.pdf</t>
  </si>
  <si>
    <t>International audience brochure; useful for campus/university overview</t>
  </si>
  <si>
    <t>vinuni_student_life_support</t>
  </si>
  <si>
    <t>C6</t>
  </si>
  <si>
    <t>student_support</t>
  </si>
  <si>
    <t>Experience VinUni - Student Life Support</t>
  </si>
  <si>
    <t>https://experience.vinuni.edu.vn/student-life-support/</t>
  </si>
  <si>
    <t>Student support and life resources</t>
  </si>
  <si>
    <t>vinuni_student_clubs</t>
  </si>
  <si>
    <t>student_clubs</t>
  </si>
  <si>
    <t>Experience VinUni - Student Clubs</t>
  </si>
  <si>
    <t>https://experience.vinuni.edu.vn/student-life-support/student-clubs/</t>
  </si>
  <si>
    <t>Student clubs, activities, club proposal</t>
  </si>
  <si>
    <t>vinuni_clubs_associations</t>
  </si>
  <si>
    <t>VinUni Student Clubs &amp; Associations</t>
  </si>
  <si>
    <t>https://vinuni.edu.vn/student_life/student-clubs-associations/</t>
  </si>
  <si>
    <t>Official club/association overview</t>
  </si>
  <si>
    <t>vinuni_visa_association</t>
  </si>
  <si>
    <t>international_students</t>
  </si>
  <si>
    <t>VinUni International Students Association - VISA</t>
  </si>
  <si>
    <t>https://experience.vinuni.edu.vn/clubs/vinuni-international-students-association-visa/</t>
  </si>
  <si>
    <t>International student community and cultural exchange</t>
  </si>
  <si>
    <t>vinuni_orientation_oasis</t>
  </si>
  <si>
    <t>orientation</t>
  </si>
  <si>
    <t>VinUni OASIS Orientation</t>
  </si>
  <si>
    <t>https://experience.vinuni.edu.vn/new-students/oasis-program/o-orientation/</t>
  </si>
  <si>
    <t>yearly</t>
  </si>
  <si>
    <t>Orientation and onboarding</t>
  </si>
  <si>
    <t>vinuni_comm_channels</t>
  </si>
  <si>
    <t>communication_channels</t>
  </si>
  <si>
    <t>VinUni Official Communication Channels</t>
  </si>
  <si>
    <t>https://families.vinuni.edu.vn/compilation-of-official-communication-channels-at-vinuni/</t>
  </si>
  <si>
    <t>Useful to discover official channels and club pages</t>
  </si>
  <si>
    <t>hanoi_grapevine_home</t>
  </si>
  <si>
    <t>hanoi_events</t>
  </si>
  <si>
    <t>Hanoi Grapevine</t>
  </si>
  <si>
    <t>https://hanoigrapevine.com/en/</t>
  </si>
  <si>
    <t>Art/culture event source in Hanoi</t>
  </si>
  <si>
    <t>hanoi_grapevine_whats_on</t>
  </si>
  <si>
    <t>Hanoi Grapevine What's On</t>
  </si>
  <si>
    <t>https://hanoigrapevine.com/en/whats-on/</t>
  </si>
  <si>
    <t>Event listing; may need dynamic rendering</t>
  </si>
  <si>
    <t>hanoi_culture_sports</t>
  </si>
  <si>
    <t>city_events</t>
  </si>
  <si>
    <t>Hanoi Department of Culture and Sports</t>
  </si>
  <si>
    <t>https://sovhtt.hanoi.gov.vn/en/</t>
  </si>
  <si>
    <t>Official city culture/sports/tourism events</t>
  </si>
  <si>
    <t>meetup_hanoi</t>
  </si>
  <si>
    <t>meetup_community</t>
  </si>
  <si>
    <t>Meetup Hanoi</t>
  </si>
  <si>
    <t>https://www.meetup.com/find/vn--ha-noi/hanoi/</t>
  </si>
  <si>
    <t>manual_or_api</t>
  </si>
  <si>
    <t>Review</t>
  </si>
  <si>
    <t>Check terms before automated crawling; useful for social groups</t>
  </si>
  <si>
    <t>internations_hanoi</t>
  </si>
  <si>
    <t>expat_community</t>
  </si>
  <si>
    <t>InterNations Hanoi</t>
  </si>
  <si>
    <t>https://www.internations.org/hanoi-expats</t>
  </si>
  <si>
    <t>manual_or_crawl4ai</t>
  </si>
  <si>
    <t>Expat community; source quality lower than official sources</t>
  </si>
  <si>
    <t>eventbrite_hanoi</t>
  </si>
  <si>
    <t>Eventbrite Hanoi</t>
  </si>
  <si>
    <t>https://www.eventbrite.com/d/vietnam--hanoi/events/</t>
  </si>
  <si>
    <t>Event source; check robots/terms</t>
  </si>
  <si>
    <t>vcca</t>
  </si>
  <si>
    <t>art_space</t>
  </si>
  <si>
    <t>VCCA</t>
  </si>
  <si>
    <t>https://vccavietnam.com/</t>
  </si>
  <si>
    <t>Contemporary art events and cultural activities</t>
  </si>
  <si>
    <t>goethe_hanoi</t>
  </si>
  <si>
    <t>cultural_events</t>
  </si>
  <si>
    <t>Goethe-Institut Hanoi</t>
  </si>
  <si>
    <t>https://www.goethe.de/ins/vn/en/sta/han.html</t>
  </si>
  <si>
    <t>Cultural events, films, workshops</t>
  </si>
  <si>
    <t>institut_francais_vietnam</t>
  </si>
  <si>
    <t>Institut Français Vietnam</t>
  </si>
  <si>
    <t>https://www.institutfrancais-vietnam.com/</t>
  </si>
  <si>
    <t>Cultural events and language/culture activities</t>
  </si>
  <si>
    <t>vietnam_travel_home</t>
  </si>
  <si>
    <t>C7</t>
  </si>
  <si>
    <t>official_tourism</t>
  </si>
  <si>
    <t>Vietnam Travel</t>
  </si>
  <si>
    <t>https://vietnam.travel/</t>
  </si>
  <si>
    <t>Core official tourism/culture source</t>
  </si>
  <si>
    <t>vietnam_etiquette</t>
  </si>
  <si>
    <t>etiquette</t>
  </si>
  <si>
    <t>Vietnamese Etiquette for Travellers</t>
  </si>
  <si>
    <t>https://vietnam.travel/things-to-do/vietnamese-etiquette-travellers</t>
  </si>
  <si>
    <t>Core etiquette/social norms source</t>
  </si>
  <si>
    <t>vietnam_etiquette_infographic</t>
  </si>
  <si>
    <t>Vietnam Etiquette Infographic</t>
  </si>
  <si>
    <t>https://vietnam.travel/infographic-vietnam-etiquette</t>
  </si>
  <si>
    <t>html/image</t>
  </si>
  <si>
    <t>crawl4ai+ocr_if_needed</t>
  </si>
  <si>
    <t>Infographic may need OCR or manual extraction</t>
  </si>
  <si>
    <t>vietnam_street_food</t>
  </si>
  <si>
    <t>food_culture</t>
  </si>
  <si>
    <t>Beginner's Guide to Vietnamese Street Food</t>
  </si>
  <si>
    <t>https://vietnam.travel/things-to-do/beginners-guide-vietnamese-street-food</t>
  </si>
  <si>
    <t>Core food/street food guide</t>
  </si>
  <si>
    <t>vietnam_festivals</t>
  </si>
  <si>
    <t>festivals</t>
  </si>
  <si>
    <t>Top Festivals in Vietnam</t>
  </si>
  <si>
    <t>https://vietnam.travel/things-to-do/top-festivals-vietnam</t>
  </si>
  <si>
    <t>Festivals and holidays</t>
  </si>
  <si>
    <t>vietnam_hanoi_attractions</t>
  </si>
  <si>
    <t>hanoi_local_culture</t>
  </si>
  <si>
    <t>11 Must-see Attractions in Hanoi</t>
  </si>
  <si>
    <t>https://vietnam.travel/things-to-do/11-must-see-attractions-ha-noi</t>
  </si>
  <si>
    <t>Hanoi culture and landmarks</t>
  </si>
  <si>
    <t>vietnam_beginner_guide_pdf</t>
  </si>
  <si>
    <t>culture_guide</t>
  </si>
  <si>
    <t>Beginner's Guide to Vietnam Now PDF</t>
  </si>
  <si>
    <t>https://vietnam.travel/sites/default/files/2019-11/Beginner%27s%20Guide%20to%20Vietnam%20Now.pdf</t>
  </si>
  <si>
    <t>PDF guide; parse with PDF parser</t>
  </si>
  <si>
    <t>vietnam_government_portal</t>
  </si>
  <si>
    <t>national_overview</t>
  </si>
  <si>
    <t>Vietnam Government Portal</t>
  </si>
  <si>
    <t>https://vietnam.gov.vn/</t>
  </si>
  <si>
    <t>National overview and official information</t>
  </si>
  <si>
    <t>vietnamvn_english</t>
  </si>
  <si>
    <t>national_culture</t>
  </si>
  <si>
    <t>Vietnam.vn English</t>
  </si>
  <si>
    <t>https://www.vietnam.vn/en/</t>
  </si>
  <si>
    <t>Culture, people, country articles</t>
  </si>
  <si>
    <t>vietnamtourism_en</t>
  </si>
  <si>
    <t>tourism_culture</t>
  </si>
  <si>
    <t>Vietnam National Authority of Tourism</t>
  </si>
  <si>
    <t>https://vietnamtourism.gov.vn/en</t>
  </si>
  <si>
    <t>Tourism, festivals, culture news</t>
  </si>
  <si>
    <t>hanoi_tourism</t>
  </si>
  <si>
    <t>Hanoi Tourism</t>
  </si>
  <si>
    <t>https://hanoitourism.gov.vn/</t>
  </si>
  <si>
    <t>Hanoi travel and local culture</t>
  </si>
  <si>
    <t>vinpearl_vietnamese_table_manners</t>
  </si>
  <si>
    <t>food_etiquette</t>
  </si>
  <si>
    <t>Vinpearl Vietnamese Table Manners</t>
  </si>
  <si>
    <t>https://vinpearl.com/en/vietnamese-table-manners</t>
  </si>
  <si>
    <t>Supplementary table manners guide</t>
  </si>
  <si>
    <t>insideasia_vietnam_etiquette</t>
  </si>
  <si>
    <t>InsideAsia Tours - Etiquette &amp; Customs in Vietnam</t>
  </si>
  <si>
    <t>https://www.insideasiatours.com/blog/etiquette-customs-vietnam</t>
  </si>
  <si>
    <t>Supplementary source; curate carefully</t>
  </si>
  <si>
    <t>vietnamtravel_customs_etiquette</t>
  </si>
  <si>
    <t>VietnamTravel Customs and Etiquette</t>
  </si>
  <si>
    <t>https://www.vietnamtravel.com/customs-and-etiquette-in-vietnam/</t>
  </si>
  <si>
    <t>Crawl Source Tracker Summary</t>
  </si>
  <si>
    <t>Metric</t>
  </si>
  <si>
    <t>Formula / Value</t>
  </si>
  <si>
    <t>Domain</t>
  </si>
  <si>
    <t>Count</t>
  </si>
  <si>
    <t>High Priority</t>
  </si>
  <si>
    <t>Total sources</t>
  </si>
  <si>
    <t>High priority sources</t>
  </si>
  <si>
    <t>Sources needing review</t>
  </si>
  <si>
    <t>PDF sources</t>
  </si>
  <si>
    <t>Dynamic HTML sources</t>
  </si>
  <si>
    <t>Source Type</t>
  </si>
  <si>
    <t>Priority</t>
  </si>
  <si>
    <t>Status</t>
  </si>
  <si>
    <t>Crawl Frequency</t>
  </si>
  <si>
    <t>Output Format</t>
  </si>
  <si>
    <t>Crawler</t>
  </si>
  <si>
    <t>In Progress</t>
  </si>
  <si>
    <t>Done</t>
  </si>
  <si>
    <t>text</t>
  </si>
  <si>
    <t>pdf_scan</t>
  </si>
  <si>
    <t>json</t>
  </si>
  <si>
    <t>Blocked</t>
  </si>
  <si>
    <t>Stage</t>
  </si>
  <si>
    <t>Description</t>
  </si>
  <si>
    <t>Recommended Output</t>
  </si>
  <si>
    <t>1. Source registry</t>
  </si>
  <si>
    <t>Maintain URLs/PDFs in Sources sheet. Start with High priority rows.</t>
  </si>
  <si>
    <t>Sources sheet / CSV / YAML later</t>
  </si>
  <si>
    <t>2. Crawl or download</t>
  </si>
  <si>
    <t>HTML uses Crawl4AI/Firecrawl. PDF uses HTTP download. Dynamic pages may need Playwright.</t>
  </si>
  <si>
    <t>data/raw/&lt;domain&gt;/&lt;source_id&gt;.html or .pdf</t>
  </si>
  <si>
    <t>3. Parse</t>
  </si>
  <si>
    <t>Convert HTML/PDF to Markdown/Text. Use PyMuPDF/pdfplumber for text-based PDF; OCR for scanned PDF.</t>
  </si>
  <si>
    <t>parsed markdown/text</t>
  </si>
  <si>
    <t>4. Clean</t>
  </si>
  <si>
    <t>Remove menu, footer, duplicated text, cookie banners, scripts, excessive whitespace.</t>
  </si>
  <si>
    <t>cleaned document text</t>
  </si>
  <si>
    <t>5. Store document</t>
  </si>
  <si>
    <t>Save one JSON object per document with metadata and content.</t>
  </si>
  <si>
    <t>data/processed/documents.jsonl</t>
  </si>
  <si>
    <t>6. Later RAG step</t>
  </si>
  <si>
    <t>Chunk documents, embed chunks, build BM25/vector index, then rerank.</t>
  </si>
  <si>
    <t>chunks.jsonl + vector DB + BM25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</si>
</sst>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b/>
      <sz val="16.0"/>
      <color rgb="FFFFFFFF"/>
      <name val="Carlito"/>
    </font>
    <font>
      <color theme="1"/>
      <name val="Carlito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2" fontId="3" numFmtId="0" xfId="0" applyAlignment="1" applyFont="1">
      <alignment horizontal="center"/>
    </xf>
    <xf borderId="0" fillId="3" fontId="1" numFmtId="0" xfId="0" applyAlignment="1" applyFill="1" applyFont="1">
      <alignment horizontal="center" shrinkToFit="0" wrapText="1"/>
    </xf>
    <xf borderId="0" fillId="3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horizontal="center"/>
    </xf>
    <xf borderId="0" fillId="0" fontId="4" numFmtId="0" xfId="0" applyFont="1"/>
    <xf borderId="0" fillId="2" fontId="1" numFmtId="0" xfId="0" applyAlignment="1" applyFont="1">
      <alignment horizontal="center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C6E0B4"/>
          <bgColor rgb="FFC6E0B4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F4B084"/>
          <bgColor rgb="FFF4B084"/>
        </patternFill>
      </fill>
      <border/>
    </dxf>
  </dxfs>
  <tableStyles count="3">
    <tableStyle count="3" pivot="0" name="Sources-style">
      <tableStyleElement dxfId="1" type="headerRow"/>
      <tableStyleElement dxfId="2" type="firstRowStripe"/>
      <tableStyleElement dxfId="3" type="secondRowStripe"/>
    </tableStyle>
    <tableStyle count="3" pivot="0" name="Summary-style">
      <tableStyleElement dxfId="1" type="headerRow"/>
      <tableStyleElement dxfId="2" type="firstRowStripe"/>
      <tableStyleElement dxfId="3" type="secondRowStripe"/>
    </tableStyle>
    <tableStyle count="3" pivot="0" name="Pipeline Not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58" displayName="Table_1" name="Table_1" id="1">
  <tableColumns count="13">
    <tableColumn name="source_id" id="1"/>
    <tableColumn name="domain" id="2"/>
    <tableColumn name="subdomain" id="3"/>
    <tableColumn name="source_name" id="4"/>
    <tableColumn name="url" id="5"/>
    <tableColumn name="source_type" id="6"/>
    <tableColumn name="crawler" id="7"/>
    <tableColumn name="priority" id="8"/>
    <tableColumn name="authority_level" id="9"/>
    <tableColumn name="crawl_frequency" id="10"/>
    <tableColumn name="status" id="11"/>
    <tableColumn name="output_format" id="12"/>
    <tableColumn name="note" id="13"/>
  </tableColumns>
  <tableStyleInfo name="Sources-style" showColumnStripes="0" showFirstColumn="1" showLastColumn="1" showRowStripes="1"/>
</table>
</file>

<file path=xl/tables/table2.xml><?xml version="1.0" encoding="utf-8"?>
<table xmlns="http://schemas.openxmlformats.org/spreadsheetml/2006/main" ref="D3:F7" displayName="Table_2" name="Table_2" id="2">
  <tableColumns count="3">
    <tableColumn name="Domain" id="1"/>
    <tableColumn name="Count" id="2"/>
    <tableColumn name="High Priority" id="3"/>
  </tableColumns>
  <tableStyleInfo name="Summary-style" showColumnStripes="0" showFirstColumn="1" showLastColumn="1" showRowStripes="1"/>
</table>
</file>

<file path=xl/tables/table3.xml><?xml version="1.0" encoding="utf-8"?>
<table xmlns="http://schemas.openxmlformats.org/spreadsheetml/2006/main" ref="A1:C7" displayName="Table_3" name="Table_3" id="3">
  <tableColumns count="3">
    <tableColumn name="Stage" id="1"/>
    <tableColumn name="Description" id="2"/>
    <tableColumn name="Recommended Output" id="3"/>
  </tableColumns>
  <tableStyleInfo name="Pipeline No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8.0"/>
    <col customWidth="1" min="3" max="3" width="22.0"/>
    <col customWidth="1" min="4" max="4" width="34.0"/>
    <col customWidth="1" min="5" max="5" width="54.0"/>
    <col customWidth="1" min="6" max="8" width="16.0"/>
    <col customWidth="1" min="9" max="9" width="14.0"/>
    <col customWidth="1" min="10" max="12" width="18.0"/>
    <col customWidth="1" min="13" max="13" width="44.0"/>
    <col customWidth="1" min="14" max="26" width="8.63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>
        <v>5.0</v>
      </c>
      <c r="J2" s="2" t="s">
        <v>21</v>
      </c>
      <c r="K2" s="2" t="s">
        <v>22</v>
      </c>
      <c r="L2" s="2" t="s">
        <v>23</v>
      </c>
      <c r="M2" s="2" t="s">
        <v>24</v>
      </c>
    </row>
    <row r="3">
      <c r="A3" s="2" t="s">
        <v>25</v>
      </c>
      <c r="B3" s="2" t="s">
        <v>14</v>
      </c>
      <c r="C3" s="2" t="s">
        <v>26</v>
      </c>
      <c r="D3" s="2" t="s">
        <v>27</v>
      </c>
      <c r="E3" s="2" t="s">
        <v>28</v>
      </c>
      <c r="F3" s="2" t="s">
        <v>18</v>
      </c>
      <c r="G3" s="2" t="s">
        <v>19</v>
      </c>
      <c r="H3" s="2" t="s">
        <v>20</v>
      </c>
      <c r="I3" s="2">
        <v>5.0</v>
      </c>
      <c r="J3" s="2" t="s">
        <v>21</v>
      </c>
      <c r="K3" s="3" t="s">
        <v>29</v>
      </c>
      <c r="L3" s="2" t="s">
        <v>23</v>
      </c>
      <c r="M3" s="2" t="s">
        <v>30</v>
      </c>
    </row>
    <row r="4">
      <c r="A4" s="2" t="s">
        <v>31</v>
      </c>
      <c r="B4" s="2" t="s">
        <v>14</v>
      </c>
      <c r="C4" s="2" t="s">
        <v>32</v>
      </c>
      <c r="D4" s="2" t="s">
        <v>33</v>
      </c>
      <c r="E4" s="2" t="s">
        <v>34</v>
      </c>
      <c r="F4" s="2" t="s">
        <v>18</v>
      </c>
      <c r="G4" s="2" t="s">
        <v>19</v>
      </c>
      <c r="H4" s="2" t="s">
        <v>20</v>
      </c>
      <c r="I4" s="2">
        <v>5.0</v>
      </c>
      <c r="J4" s="2" t="s">
        <v>21</v>
      </c>
      <c r="K4" s="2" t="s">
        <v>22</v>
      </c>
      <c r="L4" s="2" t="s">
        <v>23</v>
      </c>
      <c r="M4" s="2" t="s">
        <v>35</v>
      </c>
    </row>
    <row r="5">
      <c r="A5" s="2" t="s">
        <v>36</v>
      </c>
      <c r="B5" s="2" t="s">
        <v>14</v>
      </c>
      <c r="C5" s="2" t="s">
        <v>37</v>
      </c>
      <c r="D5" s="2" t="s">
        <v>38</v>
      </c>
      <c r="E5" s="2" t="s">
        <v>39</v>
      </c>
      <c r="F5" s="2" t="s">
        <v>18</v>
      </c>
      <c r="G5" s="2" t="s">
        <v>19</v>
      </c>
      <c r="H5" s="2" t="s">
        <v>20</v>
      </c>
      <c r="I5" s="2">
        <v>5.0</v>
      </c>
      <c r="J5" s="2" t="s">
        <v>21</v>
      </c>
      <c r="K5" s="2" t="s">
        <v>22</v>
      </c>
      <c r="L5" s="2" t="s">
        <v>23</v>
      </c>
      <c r="M5" s="2" t="s">
        <v>40</v>
      </c>
    </row>
    <row r="6">
      <c r="A6" s="2" t="s">
        <v>41</v>
      </c>
      <c r="B6" s="2" t="s">
        <v>14</v>
      </c>
      <c r="C6" s="2" t="s">
        <v>37</v>
      </c>
      <c r="D6" s="2" t="s">
        <v>42</v>
      </c>
      <c r="E6" s="2" t="s">
        <v>43</v>
      </c>
      <c r="F6" s="2" t="s">
        <v>18</v>
      </c>
      <c r="G6" s="2" t="s">
        <v>19</v>
      </c>
      <c r="H6" s="2" t="s">
        <v>20</v>
      </c>
      <c r="I6" s="2">
        <v>5.0</v>
      </c>
      <c r="J6" s="2" t="s">
        <v>21</v>
      </c>
      <c r="K6" s="2" t="s">
        <v>22</v>
      </c>
      <c r="L6" s="2" t="s">
        <v>23</v>
      </c>
      <c r="M6" s="2" t="s">
        <v>44</v>
      </c>
    </row>
    <row r="7">
      <c r="A7" s="2" t="s">
        <v>45</v>
      </c>
      <c r="B7" s="2" t="s">
        <v>14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51</v>
      </c>
      <c r="I7" s="2">
        <v>5.0</v>
      </c>
      <c r="J7" s="2" t="s">
        <v>52</v>
      </c>
      <c r="K7" s="2" t="s">
        <v>22</v>
      </c>
      <c r="L7" s="2" t="s">
        <v>23</v>
      </c>
      <c r="M7" s="2" t="s">
        <v>53</v>
      </c>
    </row>
    <row r="8">
      <c r="A8" s="2" t="s">
        <v>54</v>
      </c>
      <c r="B8" s="2" t="s">
        <v>14</v>
      </c>
      <c r="C8" s="2" t="s">
        <v>55</v>
      </c>
      <c r="D8" s="2" t="s">
        <v>56</v>
      </c>
      <c r="E8" s="2" t="s">
        <v>57</v>
      </c>
      <c r="F8" s="2" t="s">
        <v>18</v>
      </c>
      <c r="G8" s="2" t="s">
        <v>50</v>
      </c>
      <c r="H8" s="2" t="s">
        <v>51</v>
      </c>
      <c r="I8" s="2">
        <v>4.0</v>
      </c>
      <c r="J8" s="2" t="s">
        <v>52</v>
      </c>
      <c r="K8" s="2" t="s">
        <v>22</v>
      </c>
      <c r="L8" s="2" t="s">
        <v>23</v>
      </c>
      <c r="M8" s="2" t="s">
        <v>58</v>
      </c>
    </row>
    <row r="9">
      <c r="A9" s="2" t="s">
        <v>59</v>
      </c>
      <c r="B9" s="2" t="s">
        <v>14</v>
      </c>
      <c r="C9" s="2" t="s">
        <v>60</v>
      </c>
      <c r="D9" s="2" t="s">
        <v>61</v>
      </c>
      <c r="E9" s="2" t="s">
        <v>62</v>
      </c>
      <c r="F9" s="2" t="s">
        <v>18</v>
      </c>
      <c r="G9" s="2" t="s">
        <v>19</v>
      </c>
      <c r="H9" s="2" t="s">
        <v>20</v>
      </c>
      <c r="I9" s="2">
        <v>5.0</v>
      </c>
      <c r="J9" s="2" t="s">
        <v>52</v>
      </c>
      <c r="K9" s="2" t="s">
        <v>22</v>
      </c>
      <c r="L9" s="2" t="s">
        <v>23</v>
      </c>
      <c r="M9" s="2" t="s">
        <v>63</v>
      </c>
    </row>
    <row r="10">
      <c r="A10" s="2" t="s">
        <v>64</v>
      </c>
      <c r="B10" s="2" t="s">
        <v>14</v>
      </c>
      <c r="C10" s="2" t="s">
        <v>65</v>
      </c>
      <c r="D10" s="2" t="s">
        <v>66</v>
      </c>
      <c r="E10" s="2" t="s">
        <v>67</v>
      </c>
      <c r="F10" s="2" t="s">
        <v>18</v>
      </c>
      <c r="G10" s="2" t="s">
        <v>19</v>
      </c>
      <c r="H10" s="2" t="s">
        <v>68</v>
      </c>
      <c r="I10" s="2">
        <v>3.0</v>
      </c>
      <c r="J10" s="2" t="s">
        <v>69</v>
      </c>
      <c r="K10" s="2" t="s">
        <v>22</v>
      </c>
      <c r="L10" s="2" t="s">
        <v>23</v>
      </c>
      <c r="M10" s="2" t="s">
        <v>70</v>
      </c>
    </row>
    <row r="11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18</v>
      </c>
      <c r="G11" s="2" t="s">
        <v>19</v>
      </c>
      <c r="H11" s="2" t="s">
        <v>51</v>
      </c>
      <c r="I11" s="2">
        <v>5.0</v>
      </c>
      <c r="J11" s="2" t="s">
        <v>52</v>
      </c>
      <c r="K11" s="2" t="s">
        <v>22</v>
      </c>
      <c r="L11" s="2" t="s">
        <v>23</v>
      </c>
      <c r="M11" s="2" t="s">
        <v>76</v>
      </c>
    </row>
    <row r="12">
      <c r="A12" s="2" t="s">
        <v>77</v>
      </c>
      <c r="B12" s="2" t="s">
        <v>72</v>
      </c>
      <c r="C12" s="2" t="s">
        <v>73</v>
      </c>
      <c r="D12" s="2" t="s">
        <v>78</v>
      </c>
      <c r="E12" s="2" t="s">
        <v>79</v>
      </c>
      <c r="F12" s="2" t="s">
        <v>18</v>
      </c>
      <c r="G12" s="2" t="s">
        <v>19</v>
      </c>
      <c r="H12" s="2" t="s">
        <v>20</v>
      </c>
      <c r="I12" s="2">
        <v>5.0</v>
      </c>
      <c r="J12" s="2" t="s">
        <v>52</v>
      </c>
      <c r="K12" s="2" t="s">
        <v>22</v>
      </c>
      <c r="L12" s="2" t="s">
        <v>23</v>
      </c>
      <c r="M12" s="2" t="s">
        <v>80</v>
      </c>
    </row>
    <row r="13">
      <c r="A13" s="2" t="s">
        <v>81</v>
      </c>
      <c r="B13" s="2" t="s">
        <v>72</v>
      </c>
      <c r="C13" s="2" t="s">
        <v>82</v>
      </c>
      <c r="D13" s="2" t="s">
        <v>83</v>
      </c>
      <c r="E13" s="2" t="s">
        <v>84</v>
      </c>
      <c r="F13" s="2" t="s">
        <v>18</v>
      </c>
      <c r="G13" s="2" t="s">
        <v>19</v>
      </c>
      <c r="H13" s="2" t="s">
        <v>51</v>
      </c>
      <c r="I13" s="2">
        <v>5.0</v>
      </c>
      <c r="J13" s="2" t="s">
        <v>52</v>
      </c>
      <c r="K13" s="2" t="s">
        <v>22</v>
      </c>
      <c r="L13" s="2" t="s">
        <v>23</v>
      </c>
      <c r="M13" s="2" t="s">
        <v>85</v>
      </c>
    </row>
    <row r="14">
      <c r="A14" s="2" t="s">
        <v>86</v>
      </c>
      <c r="B14" s="2" t="s">
        <v>72</v>
      </c>
      <c r="C14" s="2" t="s">
        <v>87</v>
      </c>
      <c r="D14" s="2" t="s">
        <v>88</v>
      </c>
      <c r="E14" s="2" t="s">
        <v>89</v>
      </c>
      <c r="F14" s="2" t="s">
        <v>18</v>
      </c>
      <c r="G14" s="2" t="s">
        <v>19</v>
      </c>
      <c r="H14" s="2" t="s">
        <v>20</v>
      </c>
      <c r="I14" s="2">
        <v>5.0</v>
      </c>
      <c r="J14" s="2" t="s">
        <v>52</v>
      </c>
      <c r="K14" s="2" t="s">
        <v>22</v>
      </c>
      <c r="L14" s="2" t="s">
        <v>23</v>
      </c>
      <c r="M14" s="2" t="s">
        <v>90</v>
      </c>
    </row>
    <row r="15">
      <c r="A15" s="2" t="s">
        <v>91</v>
      </c>
      <c r="B15" s="2" t="s">
        <v>72</v>
      </c>
      <c r="C15" s="2" t="s">
        <v>87</v>
      </c>
      <c r="D15" s="2" t="s">
        <v>92</v>
      </c>
      <c r="E15" s="2" t="s">
        <v>93</v>
      </c>
      <c r="F15" s="2" t="s">
        <v>18</v>
      </c>
      <c r="G15" s="2" t="s">
        <v>19</v>
      </c>
      <c r="H15" s="2" t="s">
        <v>20</v>
      </c>
      <c r="I15" s="2">
        <v>5.0</v>
      </c>
      <c r="J15" s="2" t="s">
        <v>52</v>
      </c>
      <c r="K15" s="2" t="s">
        <v>22</v>
      </c>
      <c r="L15" s="2" t="s">
        <v>23</v>
      </c>
      <c r="M15" s="2" t="s">
        <v>94</v>
      </c>
    </row>
    <row r="16">
      <c r="A16" s="2" t="s">
        <v>95</v>
      </c>
      <c r="B16" s="2" t="s">
        <v>72</v>
      </c>
      <c r="C16" s="2" t="s">
        <v>96</v>
      </c>
      <c r="D16" s="2" t="s">
        <v>97</v>
      </c>
      <c r="E16" s="2" t="s">
        <v>98</v>
      </c>
      <c r="F16" s="2" t="s">
        <v>18</v>
      </c>
      <c r="G16" s="2" t="s">
        <v>19</v>
      </c>
      <c r="H16" s="2" t="s">
        <v>20</v>
      </c>
      <c r="I16" s="2">
        <v>5.0</v>
      </c>
      <c r="J16" s="2" t="s">
        <v>21</v>
      </c>
      <c r="K16" s="2" t="s">
        <v>22</v>
      </c>
      <c r="L16" s="2" t="s">
        <v>23</v>
      </c>
      <c r="M16" s="2" t="s">
        <v>99</v>
      </c>
    </row>
    <row r="17">
      <c r="A17" s="2" t="s">
        <v>100</v>
      </c>
      <c r="B17" s="2" t="s">
        <v>72</v>
      </c>
      <c r="C17" s="2" t="s">
        <v>101</v>
      </c>
      <c r="D17" s="2" t="s">
        <v>102</v>
      </c>
      <c r="E17" s="2" t="s">
        <v>103</v>
      </c>
      <c r="F17" s="2" t="s">
        <v>18</v>
      </c>
      <c r="G17" s="2" t="s">
        <v>19</v>
      </c>
      <c r="H17" s="2" t="s">
        <v>20</v>
      </c>
      <c r="I17" s="2">
        <v>5.0</v>
      </c>
      <c r="J17" s="2" t="s">
        <v>52</v>
      </c>
      <c r="K17" s="2" t="s">
        <v>22</v>
      </c>
      <c r="L17" s="2" t="s">
        <v>23</v>
      </c>
      <c r="M17" s="2" t="s">
        <v>104</v>
      </c>
    </row>
    <row r="18">
      <c r="A18" s="2" t="s">
        <v>105</v>
      </c>
      <c r="B18" s="2" t="s">
        <v>72</v>
      </c>
      <c r="C18" s="2" t="s">
        <v>106</v>
      </c>
      <c r="D18" s="2" t="s">
        <v>107</v>
      </c>
      <c r="E18" s="2" t="s">
        <v>108</v>
      </c>
      <c r="F18" s="2" t="s">
        <v>18</v>
      </c>
      <c r="G18" s="2" t="s">
        <v>19</v>
      </c>
      <c r="H18" s="2" t="s">
        <v>20</v>
      </c>
      <c r="I18" s="2">
        <v>5.0</v>
      </c>
      <c r="J18" s="2" t="s">
        <v>52</v>
      </c>
      <c r="K18" s="2" t="s">
        <v>22</v>
      </c>
      <c r="L18" s="2" t="s">
        <v>23</v>
      </c>
      <c r="M18" s="2" t="s">
        <v>109</v>
      </c>
    </row>
    <row r="19">
      <c r="A19" s="2" t="s">
        <v>110</v>
      </c>
      <c r="B19" s="2" t="s">
        <v>72</v>
      </c>
      <c r="C19" s="2" t="s">
        <v>111</v>
      </c>
      <c r="D19" s="2" t="s">
        <v>112</v>
      </c>
      <c r="E19" s="2" t="s">
        <v>113</v>
      </c>
      <c r="F19" s="2" t="s">
        <v>18</v>
      </c>
      <c r="G19" s="2" t="s">
        <v>19</v>
      </c>
      <c r="H19" s="2" t="s">
        <v>20</v>
      </c>
      <c r="I19" s="2">
        <v>5.0</v>
      </c>
      <c r="J19" s="2" t="s">
        <v>21</v>
      </c>
      <c r="K19" s="2" t="s">
        <v>22</v>
      </c>
      <c r="L19" s="2" t="s">
        <v>23</v>
      </c>
      <c r="M19" s="2" t="s">
        <v>114</v>
      </c>
    </row>
    <row r="20">
      <c r="A20" s="2" t="s">
        <v>115</v>
      </c>
      <c r="B20" s="2" t="s">
        <v>72</v>
      </c>
      <c r="C20" s="2" t="s">
        <v>116</v>
      </c>
      <c r="D20" s="2" t="s">
        <v>117</v>
      </c>
      <c r="E20" s="2" t="s">
        <v>118</v>
      </c>
      <c r="F20" s="2" t="s">
        <v>18</v>
      </c>
      <c r="G20" s="2" t="s">
        <v>19</v>
      </c>
      <c r="H20" s="2" t="s">
        <v>20</v>
      </c>
      <c r="I20" s="2">
        <v>5.0</v>
      </c>
      <c r="J20" s="2" t="s">
        <v>21</v>
      </c>
      <c r="K20" s="2" t="s">
        <v>22</v>
      </c>
      <c r="L20" s="2" t="s">
        <v>23</v>
      </c>
      <c r="M20" s="2" t="s">
        <v>119</v>
      </c>
    </row>
    <row r="21" ht="15.75" customHeight="1">
      <c r="A21" s="2" t="s">
        <v>120</v>
      </c>
      <c r="B21" s="2" t="s">
        <v>72</v>
      </c>
      <c r="C21" s="2" t="s">
        <v>121</v>
      </c>
      <c r="D21" s="2" t="s">
        <v>122</v>
      </c>
      <c r="E21" s="2" t="s">
        <v>123</v>
      </c>
      <c r="F21" s="2" t="s">
        <v>18</v>
      </c>
      <c r="G21" s="2" t="s">
        <v>19</v>
      </c>
      <c r="H21" s="2" t="s">
        <v>20</v>
      </c>
      <c r="I21" s="2">
        <v>5.0</v>
      </c>
      <c r="J21" s="2" t="s">
        <v>52</v>
      </c>
      <c r="K21" s="2" t="s">
        <v>22</v>
      </c>
      <c r="L21" s="2" t="s">
        <v>23</v>
      </c>
      <c r="M21" s="2" t="s">
        <v>124</v>
      </c>
    </row>
    <row r="22" ht="15.75" customHeight="1">
      <c r="A22" s="2" t="s">
        <v>125</v>
      </c>
      <c r="B22" s="2" t="s">
        <v>72</v>
      </c>
      <c r="C22" s="2" t="s">
        <v>126</v>
      </c>
      <c r="D22" s="2" t="s">
        <v>127</v>
      </c>
      <c r="E22" s="2" t="s">
        <v>128</v>
      </c>
      <c r="F22" s="2" t="s">
        <v>18</v>
      </c>
      <c r="G22" s="2" t="s">
        <v>19</v>
      </c>
      <c r="H22" s="2" t="s">
        <v>20</v>
      </c>
      <c r="I22" s="2">
        <v>5.0</v>
      </c>
      <c r="J22" s="2" t="s">
        <v>52</v>
      </c>
      <c r="K22" s="2" t="s">
        <v>22</v>
      </c>
      <c r="L22" s="2" t="s">
        <v>23</v>
      </c>
      <c r="M22" s="2" t="s">
        <v>129</v>
      </c>
    </row>
    <row r="23" ht="15.75" customHeight="1">
      <c r="A23" s="2" t="s">
        <v>130</v>
      </c>
      <c r="B23" s="2" t="s">
        <v>72</v>
      </c>
      <c r="C23" s="2" t="s">
        <v>131</v>
      </c>
      <c r="D23" s="2" t="s">
        <v>132</v>
      </c>
      <c r="E23" s="2" t="s">
        <v>133</v>
      </c>
      <c r="F23" s="2" t="s">
        <v>18</v>
      </c>
      <c r="G23" s="2" t="s">
        <v>19</v>
      </c>
      <c r="H23" s="2" t="s">
        <v>20</v>
      </c>
      <c r="I23" s="2">
        <v>5.0</v>
      </c>
      <c r="J23" s="2" t="s">
        <v>52</v>
      </c>
      <c r="K23" s="2" t="s">
        <v>22</v>
      </c>
      <c r="L23" s="2" t="s">
        <v>23</v>
      </c>
      <c r="M23" s="2" t="s">
        <v>134</v>
      </c>
    </row>
    <row r="24" ht="15.75" customHeight="1">
      <c r="A24" s="2" t="s">
        <v>135</v>
      </c>
      <c r="B24" s="2" t="s">
        <v>72</v>
      </c>
      <c r="C24" s="2" t="s">
        <v>136</v>
      </c>
      <c r="D24" s="2" t="s">
        <v>137</v>
      </c>
      <c r="E24" s="2" t="s">
        <v>138</v>
      </c>
      <c r="F24" s="2" t="s">
        <v>18</v>
      </c>
      <c r="G24" s="2" t="s">
        <v>19</v>
      </c>
      <c r="H24" s="2" t="s">
        <v>20</v>
      </c>
      <c r="I24" s="2">
        <v>5.0</v>
      </c>
      <c r="J24" s="2" t="s">
        <v>52</v>
      </c>
      <c r="K24" s="2" t="s">
        <v>22</v>
      </c>
      <c r="L24" s="2" t="s">
        <v>23</v>
      </c>
      <c r="M24" s="2" t="s">
        <v>139</v>
      </c>
    </row>
    <row r="25" ht="15.75" customHeight="1">
      <c r="A25" s="2" t="s">
        <v>140</v>
      </c>
      <c r="B25" s="2" t="s">
        <v>72</v>
      </c>
      <c r="C25" s="2" t="s">
        <v>141</v>
      </c>
      <c r="D25" s="2" t="s">
        <v>142</v>
      </c>
      <c r="E25" s="2" t="s">
        <v>143</v>
      </c>
      <c r="F25" s="2" t="s">
        <v>144</v>
      </c>
      <c r="G25" s="2" t="s">
        <v>145</v>
      </c>
      <c r="H25" s="2" t="s">
        <v>20</v>
      </c>
      <c r="I25" s="2">
        <v>5.0</v>
      </c>
      <c r="J25" s="2" t="s">
        <v>52</v>
      </c>
      <c r="K25" s="2" t="s">
        <v>22</v>
      </c>
      <c r="L25" s="2" t="s">
        <v>146</v>
      </c>
      <c r="M25" s="2" t="s">
        <v>147</v>
      </c>
    </row>
    <row r="26" ht="15.75" customHeight="1">
      <c r="A26" s="2" t="s">
        <v>148</v>
      </c>
      <c r="B26" s="2" t="s">
        <v>72</v>
      </c>
      <c r="C26" s="2" t="s">
        <v>149</v>
      </c>
      <c r="D26" s="2" t="s">
        <v>150</v>
      </c>
      <c r="E26" s="2" t="s">
        <v>151</v>
      </c>
      <c r="F26" s="2" t="s">
        <v>18</v>
      </c>
      <c r="G26" s="2" t="s">
        <v>19</v>
      </c>
      <c r="H26" s="2" t="s">
        <v>51</v>
      </c>
      <c r="I26" s="2">
        <v>5.0</v>
      </c>
      <c r="J26" s="2" t="s">
        <v>52</v>
      </c>
      <c r="K26" s="2" t="s">
        <v>22</v>
      </c>
      <c r="L26" s="2" t="s">
        <v>23</v>
      </c>
      <c r="M26" s="2" t="s">
        <v>152</v>
      </c>
    </row>
    <row r="27" ht="15.75" customHeight="1">
      <c r="A27" s="2" t="s">
        <v>153</v>
      </c>
      <c r="B27" s="2" t="s">
        <v>72</v>
      </c>
      <c r="C27" s="2" t="s">
        <v>154</v>
      </c>
      <c r="D27" s="2" t="s">
        <v>155</v>
      </c>
      <c r="E27" s="2" t="s">
        <v>156</v>
      </c>
      <c r="F27" s="2" t="s">
        <v>18</v>
      </c>
      <c r="G27" s="2" t="s">
        <v>19</v>
      </c>
      <c r="H27" s="2" t="s">
        <v>51</v>
      </c>
      <c r="I27" s="2">
        <v>5.0</v>
      </c>
      <c r="J27" s="2" t="s">
        <v>52</v>
      </c>
      <c r="K27" s="2" t="s">
        <v>22</v>
      </c>
      <c r="L27" s="2" t="s">
        <v>23</v>
      </c>
      <c r="M27" s="2" t="s">
        <v>157</v>
      </c>
    </row>
    <row r="28" ht="15.75" customHeight="1">
      <c r="A28" s="2" t="s">
        <v>158</v>
      </c>
      <c r="B28" s="2" t="s">
        <v>72</v>
      </c>
      <c r="C28" s="2" t="s">
        <v>159</v>
      </c>
      <c r="D28" s="2" t="s">
        <v>160</v>
      </c>
      <c r="E28" s="2" t="s">
        <v>161</v>
      </c>
      <c r="F28" s="2" t="s">
        <v>18</v>
      </c>
      <c r="G28" s="2" t="s">
        <v>19</v>
      </c>
      <c r="H28" s="2" t="s">
        <v>68</v>
      </c>
      <c r="I28" s="2">
        <v>3.0</v>
      </c>
      <c r="J28" s="2" t="s">
        <v>69</v>
      </c>
      <c r="K28" s="2" t="s">
        <v>22</v>
      </c>
      <c r="L28" s="2" t="s">
        <v>23</v>
      </c>
      <c r="M28" s="2" t="s">
        <v>162</v>
      </c>
    </row>
    <row r="29" ht="15.75" customHeight="1">
      <c r="A29" s="2" t="s">
        <v>163</v>
      </c>
      <c r="B29" s="2" t="s">
        <v>72</v>
      </c>
      <c r="C29" s="2" t="s">
        <v>164</v>
      </c>
      <c r="D29" s="2" t="s">
        <v>165</v>
      </c>
      <c r="E29" s="2" t="s">
        <v>166</v>
      </c>
      <c r="F29" s="2" t="s">
        <v>144</v>
      </c>
      <c r="G29" s="2" t="s">
        <v>145</v>
      </c>
      <c r="H29" s="2" t="s">
        <v>51</v>
      </c>
      <c r="I29" s="2">
        <v>5.0</v>
      </c>
      <c r="J29" s="2" t="s">
        <v>69</v>
      </c>
      <c r="K29" s="2" t="s">
        <v>22</v>
      </c>
      <c r="L29" s="2" t="s">
        <v>146</v>
      </c>
      <c r="M29" s="2" t="s">
        <v>167</v>
      </c>
    </row>
    <row r="30" ht="15.75" customHeight="1">
      <c r="A30" s="2" t="s">
        <v>168</v>
      </c>
      <c r="B30" s="2" t="s">
        <v>169</v>
      </c>
      <c r="C30" s="2" t="s">
        <v>170</v>
      </c>
      <c r="D30" s="2" t="s">
        <v>171</v>
      </c>
      <c r="E30" s="2" t="s">
        <v>172</v>
      </c>
      <c r="F30" s="2" t="s">
        <v>18</v>
      </c>
      <c r="G30" s="2" t="s">
        <v>19</v>
      </c>
      <c r="H30" s="2" t="s">
        <v>20</v>
      </c>
      <c r="I30" s="2">
        <v>5.0</v>
      </c>
      <c r="J30" s="2" t="s">
        <v>52</v>
      </c>
      <c r="K30" s="2" t="s">
        <v>22</v>
      </c>
      <c r="L30" s="2" t="s">
        <v>23</v>
      </c>
      <c r="M30" s="2" t="s">
        <v>173</v>
      </c>
    </row>
    <row r="31" ht="15.75" customHeight="1">
      <c r="A31" s="2" t="s">
        <v>174</v>
      </c>
      <c r="B31" s="2" t="s">
        <v>169</v>
      </c>
      <c r="C31" s="2" t="s">
        <v>175</v>
      </c>
      <c r="D31" s="2" t="s">
        <v>176</v>
      </c>
      <c r="E31" s="2" t="s">
        <v>177</v>
      </c>
      <c r="F31" s="2" t="s">
        <v>18</v>
      </c>
      <c r="G31" s="2" t="s">
        <v>19</v>
      </c>
      <c r="H31" s="2" t="s">
        <v>20</v>
      </c>
      <c r="I31" s="2">
        <v>5.0</v>
      </c>
      <c r="J31" s="2" t="s">
        <v>52</v>
      </c>
      <c r="K31" s="2" t="s">
        <v>22</v>
      </c>
      <c r="L31" s="2" t="s">
        <v>23</v>
      </c>
      <c r="M31" s="2" t="s">
        <v>178</v>
      </c>
    </row>
    <row r="32" ht="15.75" customHeight="1">
      <c r="A32" s="2" t="s">
        <v>179</v>
      </c>
      <c r="B32" s="2" t="s">
        <v>169</v>
      </c>
      <c r="C32" s="2" t="s">
        <v>175</v>
      </c>
      <c r="D32" s="2" t="s">
        <v>180</v>
      </c>
      <c r="E32" s="2" t="s">
        <v>181</v>
      </c>
      <c r="F32" s="2" t="s">
        <v>18</v>
      </c>
      <c r="G32" s="2" t="s">
        <v>19</v>
      </c>
      <c r="H32" s="2" t="s">
        <v>20</v>
      </c>
      <c r="I32" s="2">
        <v>5.0</v>
      </c>
      <c r="J32" s="2" t="s">
        <v>52</v>
      </c>
      <c r="K32" s="2" t="s">
        <v>22</v>
      </c>
      <c r="L32" s="2" t="s">
        <v>23</v>
      </c>
      <c r="M32" s="2" t="s">
        <v>182</v>
      </c>
    </row>
    <row r="33" ht="15.75" customHeight="1">
      <c r="A33" s="2" t="s">
        <v>183</v>
      </c>
      <c r="B33" s="2" t="s">
        <v>169</v>
      </c>
      <c r="C33" s="2" t="s">
        <v>184</v>
      </c>
      <c r="D33" s="2" t="s">
        <v>185</v>
      </c>
      <c r="E33" s="2" t="s">
        <v>186</v>
      </c>
      <c r="F33" s="2" t="s">
        <v>18</v>
      </c>
      <c r="G33" s="2" t="s">
        <v>19</v>
      </c>
      <c r="H33" s="2" t="s">
        <v>20</v>
      </c>
      <c r="I33" s="2">
        <v>5.0</v>
      </c>
      <c r="J33" s="2" t="s">
        <v>52</v>
      </c>
      <c r="K33" s="2" t="s">
        <v>22</v>
      </c>
      <c r="L33" s="2" t="s">
        <v>23</v>
      </c>
      <c r="M33" s="2" t="s">
        <v>187</v>
      </c>
    </row>
    <row r="34" ht="15.75" customHeight="1">
      <c r="A34" s="2" t="s">
        <v>188</v>
      </c>
      <c r="B34" s="2" t="s">
        <v>169</v>
      </c>
      <c r="C34" s="2" t="s">
        <v>189</v>
      </c>
      <c r="D34" s="2" t="s">
        <v>190</v>
      </c>
      <c r="E34" s="2" t="s">
        <v>191</v>
      </c>
      <c r="F34" s="2" t="s">
        <v>18</v>
      </c>
      <c r="G34" s="2" t="s">
        <v>19</v>
      </c>
      <c r="H34" s="2" t="s">
        <v>20</v>
      </c>
      <c r="I34" s="2">
        <v>5.0</v>
      </c>
      <c r="J34" s="2" t="s">
        <v>192</v>
      </c>
      <c r="K34" s="2" t="s">
        <v>22</v>
      </c>
      <c r="L34" s="2" t="s">
        <v>23</v>
      </c>
      <c r="M34" s="2" t="s">
        <v>193</v>
      </c>
    </row>
    <row r="35" ht="15.75" customHeight="1">
      <c r="A35" s="2" t="s">
        <v>194</v>
      </c>
      <c r="B35" s="2" t="s">
        <v>169</v>
      </c>
      <c r="C35" s="2" t="s">
        <v>195</v>
      </c>
      <c r="D35" s="2" t="s">
        <v>196</v>
      </c>
      <c r="E35" s="2" t="s">
        <v>197</v>
      </c>
      <c r="F35" s="2" t="s">
        <v>18</v>
      </c>
      <c r="G35" s="2" t="s">
        <v>19</v>
      </c>
      <c r="H35" s="2" t="s">
        <v>51</v>
      </c>
      <c r="I35" s="2">
        <v>4.0</v>
      </c>
      <c r="J35" s="2" t="s">
        <v>69</v>
      </c>
      <c r="K35" s="2" t="s">
        <v>22</v>
      </c>
      <c r="L35" s="2" t="s">
        <v>23</v>
      </c>
      <c r="M35" s="2" t="s">
        <v>198</v>
      </c>
    </row>
    <row r="36" ht="15.75" customHeight="1">
      <c r="A36" s="2" t="s">
        <v>199</v>
      </c>
      <c r="B36" s="2" t="s">
        <v>169</v>
      </c>
      <c r="C36" s="2" t="s">
        <v>200</v>
      </c>
      <c r="D36" s="2" t="s">
        <v>201</v>
      </c>
      <c r="E36" s="2" t="s">
        <v>202</v>
      </c>
      <c r="F36" s="2" t="s">
        <v>18</v>
      </c>
      <c r="G36" s="2" t="s">
        <v>19</v>
      </c>
      <c r="H36" s="2" t="s">
        <v>51</v>
      </c>
      <c r="I36" s="2">
        <v>3.0</v>
      </c>
      <c r="J36" s="2" t="s">
        <v>21</v>
      </c>
      <c r="K36" s="2" t="s">
        <v>22</v>
      </c>
      <c r="L36" s="2" t="s">
        <v>23</v>
      </c>
      <c r="M36" s="2" t="s">
        <v>203</v>
      </c>
    </row>
    <row r="37" ht="15.75" customHeight="1">
      <c r="A37" s="2" t="s">
        <v>204</v>
      </c>
      <c r="B37" s="2" t="s">
        <v>169</v>
      </c>
      <c r="C37" s="2" t="s">
        <v>200</v>
      </c>
      <c r="D37" s="2" t="s">
        <v>205</v>
      </c>
      <c r="E37" s="2" t="s">
        <v>206</v>
      </c>
      <c r="F37" s="2" t="s">
        <v>49</v>
      </c>
      <c r="G37" s="2" t="s">
        <v>50</v>
      </c>
      <c r="H37" s="2" t="s">
        <v>51</v>
      </c>
      <c r="I37" s="2">
        <v>3.0</v>
      </c>
      <c r="J37" s="2" t="s">
        <v>21</v>
      </c>
      <c r="K37" s="2" t="s">
        <v>22</v>
      </c>
      <c r="L37" s="2" t="s">
        <v>23</v>
      </c>
      <c r="M37" s="2" t="s">
        <v>207</v>
      </c>
    </row>
    <row r="38" ht="15.75" customHeight="1">
      <c r="A38" s="2" t="s">
        <v>208</v>
      </c>
      <c r="B38" s="2" t="s">
        <v>169</v>
      </c>
      <c r="C38" s="2" t="s">
        <v>209</v>
      </c>
      <c r="D38" s="2" t="s">
        <v>210</v>
      </c>
      <c r="E38" s="2" t="s">
        <v>211</v>
      </c>
      <c r="F38" s="2" t="s">
        <v>18</v>
      </c>
      <c r="G38" s="2" t="s">
        <v>19</v>
      </c>
      <c r="H38" s="2" t="s">
        <v>51</v>
      </c>
      <c r="I38" s="2">
        <v>4.0</v>
      </c>
      <c r="J38" s="2" t="s">
        <v>21</v>
      </c>
      <c r="K38" s="2" t="s">
        <v>22</v>
      </c>
      <c r="L38" s="2" t="s">
        <v>23</v>
      </c>
      <c r="M38" s="2" t="s">
        <v>212</v>
      </c>
    </row>
    <row r="39" ht="15.75" customHeight="1">
      <c r="A39" s="2" t="s">
        <v>213</v>
      </c>
      <c r="B39" s="2" t="s">
        <v>169</v>
      </c>
      <c r="C39" s="2" t="s">
        <v>214</v>
      </c>
      <c r="D39" s="2" t="s">
        <v>215</v>
      </c>
      <c r="E39" s="2" t="s">
        <v>216</v>
      </c>
      <c r="F39" s="2" t="s">
        <v>49</v>
      </c>
      <c r="G39" s="2" t="s">
        <v>217</v>
      </c>
      <c r="H39" s="2" t="s">
        <v>68</v>
      </c>
      <c r="I39" s="2">
        <v>2.0</v>
      </c>
      <c r="J39" s="2" t="s">
        <v>21</v>
      </c>
      <c r="K39" s="2" t="s">
        <v>218</v>
      </c>
      <c r="L39" s="2" t="s">
        <v>23</v>
      </c>
      <c r="M39" s="2" t="s">
        <v>219</v>
      </c>
    </row>
    <row r="40" ht="15.75" customHeight="1">
      <c r="A40" s="2" t="s">
        <v>220</v>
      </c>
      <c r="B40" s="2" t="s">
        <v>169</v>
      </c>
      <c r="C40" s="2" t="s">
        <v>221</v>
      </c>
      <c r="D40" s="2" t="s">
        <v>222</v>
      </c>
      <c r="E40" s="2" t="s">
        <v>223</v>
      </c>
      <c r="F40" s="2" t="s">
        <v>18</v>
      </c>
      <c r="G40" s="2" t="s">
        <v>224</v>
      </c>
      <c r="H40" s="2" t="s">
        <v>68</v>
      </c>
      <c r="I40" s="2">
        <v>2.0</v>
      </c>
      <c r="J40" s="2" t="s">
        <v>52</v>
      </c>
      <c r="K40" s="2" t="s">
        <v>218</v>
      </c>
      <c r="L40" s="2" t="s">
        <v>23</v>
      </c>
      <c r="M40" s="2" t="s">
        <v>225</v>
      </c>
    </row>
    <row r="41" ht="15.75" customHeight="1">
      <c r="A41" s="2" t="s">
        <v>226</v>
      </c>
      <c r="B41" s="2" t="s">
        <v>169</v>
      </c>
      <c r="C41" s="2" t="s">
        <v>200</v>
      </c>
      <c r="D41" s="2" t="s">
        <v>227</v>
      </c>
      <c r="E41" s="2" t="s">
        <v>228</v>
      </c>
      <c r="F41" s="2" t="s">
        <v>49</v>
      </c>
      <c r="G41" s="2" t="s">
        <v>217</v>
      </c>
      <c r="H41" s="2" t="s">
        <v>68</v>
      </c>
      <c r="I41" s="2">
        <v>2.0</v>
      </c>
      <c r="J41" s="2" t="s">
        <v>21</v>
      </c>
      <c r="K41" s="2" t="s">
        <v>218</v>
      </c>
      <c r="L41" s="2" t="s">
        <v>23</v>
      </c>
      <c r="M41" s="2" t="s">
        <v>229</v>
      </c>
    </row>
    <row r="42" ht="15.75" customHeight="1">
      <c r="A42" s="2" t="s">
        <v>230</v>
      </c>
      <c r="B42" s="2" t="s">
        <v>169</v>
      </c>
      <c r="C42" s="2" t="s">
        <v>231</v>
      </c>
      <c r="D42" s="2" t="s">
        <v>232</v>
      </c>
      <c r="E42" s="2" t="s">
        <v>233</v>
      </c>
      <c r="F42" s="2" t="s">
        <v>18</v>
      </c>
      <c r="G42" s="2" t="s">
        <v>19</v>
      </c>
      <c r="H42" s="2" t="s">
        <v>68</v>
      </c>
      <c r="I42" s="2">
        <v>3.0</v>
      </c>
      <c r="J42" s="2" t="s">
        <v>52</v>
      </c>
      <c r="K42" s="2" t="s">
        <v>22</v>
      </c>
      <c r="L42" s="2" t="s">
        <v>23</v>
      </c>
      <c r="M42" s="2" t="s">
        <v>234</v>
      </c>
    </row>
    <row r="43" ht="15.75" customHeight="1">
      <c r="A43" s="2" t="s">
        <v>235</v>
      </c>
      <c r="B43" s="2" t="s">
        <v>169</v>
      </c>
      <c r="C43" s="2" t="s">
        <v>236</v>
      </c>
      <c r="D43" s="2" t="s">
        <v>237</v>
      </c>
      <c r="E43" s="2" t="s">
        <v>238</v>
      </c>
      <c r="F43" s="2" t="s">
        <v>18</v>
      </c>
      <c r="G43" s="2" t="s">
        <v>19</v>
      </c>
      <c r="H43" s="2" t="s">
        <v>68</v>
      </c>
      <c r="I43" s="2">
        <v>3.0</v>
      </c>
      <c r="J43" s="2" t="s">
        <v>52</v>
      </c>
      <c r="K43" s="2" t="s">
        <v>22</v>
      </c>
      <c r="L43" s="2" t="s">
        <v>23</v>
      </c>
      <c r="M43" s="2" t="s">
        <v>239</v>
      </c>
    </row>
    <row r="44" ht="15.75" customHeight="1">
      <c r="A44" s="2" t="s">
        <v>240</v>
      </c>
      <c r="B44" s="2" t="s">
        <v>169</v>
      </c>
      <c r="C44" s="2" t="s">
        <v>236</v>
      </c>
      <c r="D44" s="2" t="s">
        <v>241</v>
      </c>
      <c r="E44" s="2" t="s">
        <v>242</v>
      </c>
      <c r="F44" s="2" t="s">
        <v>18</v>
      </c>
      <c r="G44" s="2" t="s">
        <v>19</v>
      </c>
      <c r="H44" s="2" t="s">
        <v>68</v>
      </c>
      <c r="I44" s="2">
        <v>3.0</v>
      </c>
      <c r="J44" s="2" t="s">
        <v>52</v>
      </c>
      <c r="K44" s="2" t="s">
        <v>22</v>
      </c>
      <c r="L44" s="2" t="s">
        <v>23</v>
      </c>
      <c r="M44" s="2" t="s">
        <v>243</v>
      </c>
    </row>
    <row r="45" ht="15.75" customHeight="1">
      <c r="A45" s="2" t="s">
        <v>244</v>
      </c>
      <c r="B45" s="2" t="s">
        <v>245</v>
      </c>
      <c r="C45" s="2" t="s">
        <v>246</v>
      </c>
      <c r="D45" s="2" t="s">
        <v>247</v>
      </c>
      <c r="E45" s="2" t="s">
        <v>248</v>
      </c>
      <c r="F45" s="2" t="s">
        <v>18</v>
      </c>
      <c r="G45" s="2" t="s">
        <v>19</v>
      </c>
      <c r="H45" s="2" t="s">
        <v>20</v>
      </c>
      <c r="I45" s="2">
        <v>5.0</v>
      </c>
      <c r="J45" s="2" t="s">
        <v>69</v>
      </c>
      <c r="K45" s="2" t="s">
        <v>22</v>
      </c>
      <c r="L45" s="2" t="s">
        <v>23</v>
      </c>
      <c r="M45" s="2" t="s">
        <v>249</v>
      </c>
    </row>
    <row r="46" ht="15.75" customHeight="1">
      <c r="A46" s="2" t="s">
        <v>250</v>
      </c>
      <c r="B46" s="2" t="s">
        <v>245</v>
      </c>
      <c r="C46" s="2" t="s">
        <v>251</v>
      </c>
      <c r="D46" s="2" t="s">
        <v>252</v>
      </c>
      <c r="E46" s="2" t="s">
        <v>253</v>
      </c>
      <c r="F46" s="2" t="s">
        <v>18</v>
      </c>
      <c r="G46" s="2" t="s">
        <v>19</v>
      </c>
      <c r="H46" s="2" t="s">
        <v>20</v>
      </c>
      <c r="I46" s="2">
        <v>5.0</v>
      </c>
      <c r="J46" s="2" t="s">
        <v>69</v>
      </c>
      <c r="K46" s="2" t="s">
        <v>22</v>
      </c>
      <c r="L46" s="2" t="s">
        <v>23</v>
      </c>
      <c r="M46" s="2" t="s">
        <v>254</v>
      </c>
    </row>
    <row r="47" ht="15.75" customHeight="1">
      <c r="A47" s="2" t="s">
        <v>255</v>
      </c>
      <c r="B47" s="2" t="s">
        <v>245</v>
      </c>
      <c r="C47" s="2" t="s">
        <v>251</v>
      </c>
      <c r="D47" s="2" t="s">
        <v>256</v>
      </c>
      <c r="E47" s="2" t="s">
        <v>257</v>
      </c>
      <c r="F47" s="2" t="s">
        <v>258</v>
      </c>
      <c r="G47" s="2" t="s">
        <v>259</v>
      </c>
      <c r="H47" s="2" t="s">
        <v>20</v>
      </c>
      <c r="I47" s="2">
        <v>5.0</v>
      </c>
      <c r="J47" s="2" t="s">
        <v>69</v>
      </c>
      <c r="K47" s="2" t="s">
        <v>22</v>
      </c>
      <c r="L47" s="2" t="s">
        <v>146</v>
      </c>
      <c r="M47" s="2" t="s">
        <v>260</v>
      </c>
    </row>
    <row r="48" ht="15.75" customHeight="1">
      <c r="A48" s="2" t="s">
        <v>261</v>
      </c>
      <c r="B48" s="2" t="s">
        <v>245</v>
      </c>
      <c r="C48" s="2" t="s">
        <v>262</v>
      </c>
      <c r="D48" s="2" t="s">
        <v>263</v>
      </c>
      <c r="E48" s="2" t="s">
        <v>264</v>
      </c>
      <c r="F48" s="2" t="s">
        <v>18</v>
      </c>
      <c r="G48" s="2" t="s">
        <v>19</v>
      </c>
      <c r="H48" s="2" t="s">
        <v>20</v>
      </c>
      <c r="I48" s="2">
        <v>5.0</v>
      </c>
      <c r="J48" s="2" t="s">
        <v>69</v>
      </c>
      <c r="K48" s="2" t="s">
        <v>22</v>
      </c>
      <c r="L48" s="2" t="s">
        <v>23</v>
      </c>
      <c r="M48" s="2" t="s">
        <v>265</v>
      </c>
    </row>
    <row r="49" ht="15.75" customHeight="1">
      <c r="A49" s="2" t="s">
        <v>266</v>
      </c>
      <c r="B49" s="2" t="s">
        <v>245</v>
      </c>
      <c r="C49" s="2" t="s">
        <v>267</v>
      </c>
      <c r="D49" s="2" t="s">
        <v>268</v>
      </c>
      <c r="E49" s="2" t="s">
        <v>269</v>
      </c>
      <c r="F49" s="2" t="s">
        <v>18</v>
      </c>
      <c r="G49" s="2" t="s">
        <v>19</v>
      </c>
      <c r="H49" s="2" t="s">
        <v>20</v>
      </c>
      <c r="I49" s="2">
        <v>5.0</v>
      </c>
      <c r="J49" s="2" t="s">
        <v>69</v>
      </c>
      <c r="K49" s="2" t="s">
        <v>22</v>
      </c>
      <c r="L49" s="2" t="s">
        <v>23</v>
      </c>
      <c r="M49" s="2" t="s">
        <v>270</v>
      </c>
    </row>
    <row r="50" ht="15.75" customHeight="1">
      <c r="A50" s="2" t="s">
        <v>271</v>
      </c>
      <c r="B50" s="2" t="s">
        <v>245</v>
      </c>
      <c r="C50" s="2" t="s">
        <v>272</v>
      </c>
      <c r="D50" s="2" t="s">
        <v>273</v>
      </c>
      <c r="E50" s="2" t="s">
        <v>274</v>
      </c>
      <c r="F50" s="2" t="s">
        <v>18</v>
      </c>
      <c r="G50" s="2" t="s">
        <v>19</v>
      </c>
      <c r="H50" s="2" t="s">
        <v>20</v>
      </c>
      <c r="I50" s="2">
        <v>5.0</v>
      </c>
      <c r="J50" s="2" t="s">
        <v>69</v>
      </c>
      <c r="K50" s="2" t="s">
        <v>22</v>
      </c>
      <c r="L50" s="2" t="s">
        <v>23</v>
      </c>
      <c r="M50" s="2" t="s">
        <v>275</v>
      </c>
    </row>
    <row r="51" ht="15.75" customHeight="1">
      <c r="A51" s="2" t="s">
        <v>276</v>
      </c>
      <c r="B51" s="2" t="s">
        <v>245</v>
      </c>
      <c r="C51" s="2" t="s">
        <v>277</v>
      </c>
      <c r="D51" s="2" t="s">
        <v>278</v>
      </c>
      <c r="E51" s="2" t="s">
        <v>279</v>
      </c>
      <c r="F51" s="2" t="s">
        <v>144</v>
      </c>
      <c r="G51" s="2" t="s">
        <v>145</v>
      </c>
      <c r="H51" s="2" t="s">
        <v>20</v>
      </c>
      <c r="I51" s="2">
        <v>5.0</v>
      </c>
      <c r="J51" s="2" t="s">
        <v>69</v>
      </c>
      <c r="K51" s="2" t="s">
        <v>22</v>
      </c>
      <c r="L51" s="2" t="s">
        <v>146</v>
      </c>
      <c r="M51" s="2" t="s">
        <v>280</v>
      </c>
    </row>
    <row r="52" ht="15.75" customHeight="1">
      <c r="A52" s="2" t="s">
        <v>281</v>
      </c>
      <c r="B52" s="2" t="s">
        <v>245</v>
      </c>
      <c r="C52" s="2" t="s">
        <v>282</v>
      </c>
      <c r="D52" s="2" t="s">
        <v>283</v>
      </c>
      <c r="E52" s="2" t="s">
        <v>284</v>
      </c>
      <c r="F52" s="2" t="s">
        <v>18</v>
      </c>
      <c r="G52" s="2" t="s">
        <v>19</v>
      </c>
      <c r="H52" s="2" t="s">
        <v>51</v>
      </c>
      <c r="I52" s="2">
        <v>5.0</v>
      </c>
      <c r="J52" s="2" t="s">
        <v>69</v>
      </c>
      <c r="K52" s="2" t="s">
        <v>22</v>
      </c>
      <c r="L52" s="2" t="s">
        <v>23</v>
      </c>
      <c r="M52" s="2" t="s">
        <v>285</v>
      </c>
    </row>
    <row r="53" ht="15.75" customHeight="1">
      <c r="A53" s="2" t="s">
        <v>286</v>
      </c>
      <c r="B53" s="2" t="s">
        <v>245</v>
      </c>
      <c r="C53" s="2" t="s">
        <v>287</v>
      </c>
      <c r="D53" s="2" t="s">
        <v>288</v>
      </c>
      <c r="E53" s="2" t="s">
        <v>289</v>
      </c>
      <c r="F53" s="2" t="s">
        <v>18</v>
      </c>
      <c r="G53" s="2" t="s">
        <v>19</v>
      </c>
      <c r="H53" s="2" t="s">
        <v>51</v>
      </c>
      <c r="I53" s="2">
        <v>4.0</v>
      </c>
      <c r="J53" s="2" t="s">
        <v>69</v>
      </c>
      <c r="K53" s="2" t="s">
        <v>22</v>
      </c>
      <c r="L53" s="2" t="s">
        <v>23</v>
      </c>
      <c r="M53" s="2" t="s">
        <v>290</v>
      </c>
    </row>
    <row r="54" ht="15.75" customHeight="1">
      <c r="A54" s="2" t="s">
        <v>291</v>
      </c>
      <c r="B54" s="2" t="s">
        <v>245</v>
      </c>
      <c r="C54" s="2" t="s">
        <v>292</v>
      </c>
      <c r="D54" s="2" t="s">
        <v>293</v>
      </c>
      <c r="E54" s="2" t="s">
        <v>294</v>
      </c>
      <c r="F54" s="2" t="s">
        <v>18</v>
      </c>
      <c r="G54" s="2" t="s">
        <v>19</v>
      </c>
      <c r="H54" s="2" t="s">
        <v>51</v>
      </c>
      <c r="I54" s="2">
        <v>5.0</v>
      </c>
      <c r="J54" s="2" t="s">
        <v>69</v>
      </c>
      <c r="K54" s="2" t="s">
        <v>22</v>
      </c>
      <c r="L54" s="2" t="s">
        <v>23</v>
      </c>
      <c r="M54" s="2" t="s">
        <v>295</v>
      </c>
    </row>
    <row r="55" ht="15.75" customHeight="1">
      <c r="A55" s="2" t="s">
        <v>296</v>
      </c>
      <c r="B55" s="2" t="s">
        <v>245</v>
      </c>
      <c r="C55" s="2" t="s">
        <v>272</v>
      </c>
      <c r="D55" s="2" t="s">
        <v>297</v>
      </c>
      <c r="E55" s="2" t="s">
        <v>298</v>
      </c>
      <c r="F55" s="2" t="s">
        <v>18</v>
      </c>
      <c r="G55" s="2" t="s">
        <v>19</v>
      </c>
      <c r="H55" s="2" t="s">
        <v>51</v>
      </c>
      <c r="I55" s="2">
        <v>4.0</v>
      </c>
      <c r="J55" s="2" t="s">
        <v>69</v>
      </c>
      <c r="K55" s="2" t="s">
        <v>22</v>
      </c>
      <c r="L55" s="2" t="s">
        <v>23</v>
      </c>
      <c r="M55" s="2" t="s">
        <v>299</v>
      </c>
    </row>
    <row r="56" ht="15.75" customHeight="1">
      <c r="A56" s="2" t="s">
        <v>300</v>
      </c>
      <c r="B56" s="2" t="s">
        <v>245</v>
      </c>
      <c r="C56" s="2" t="s">
        <v>301</v>
      </c>
      <c r="D56" s="2" t="s">
        <v>302</v>
      </c>
      <c r="E56" s="2" t="s">
        <v>303</v>
      </c>
      <c r="F56" s="2" t="s">
        <v>18</v>
      </c>
      <c r="G56" s="2" t="s">
        <v>19</v>
      </c>
      <c r="H56" s="2" t="s">
        <v>68</v>
      </c>
      <c r="I56" s="2">
        <v>3.0</v>
      </c>
      <c r="J56" s="2" t="s">
        <v>69</v>
      </c>
      <c r="K56" s="2" t="s">
        <v>22</v>
      </c>
      <c r="L56" s="2" t="s">
        <v>23</v>
      </c>
      <c r="M56" s="2" t="s">
        <v>304</v>
      </c>
    </row>
    <row r="57" ht="15.75" customHeight="1">
      <c r="A57" s="2" t="s">
        <v>305</v>
      </c>
      <c r="B57" s="2" t="s">
        <v>245</v>
      </c>
      <c r="C57" s="2" t="s">
        <v>251</v>
      </c>
      <c r="D57" s="2" t="s">
        <v>306</v>
      </c>
      <c r="E57" s="2" t="s">
        <v>307</v>
      </c>
      <c r="F57" s="2" t="s">
        <v>18</v>
      </c>
      <c r="G57" s="2" t="s">
        <v>19</v>
      </c>
      <c r="H57" s="2" t="s">
        <v>68</v>
      </c>
      <c r="I57" s="2">
        <v>2.0</v>
      </c>
      <c r="J57" s="2" t="s">
        <v>69</v>
      </c>
      <c r="K57" s="2" t="s">
        <v>22</v>
      </c>
      <c r="L57" s="2" t="s">
        <v>23</v>
      </c>
      <c r="M57" s="2" t="s">
        <v>308</v>
      </c>
    </row>
    <row r="58" ht="15.75" customHeight="1">
      <c r="A58" s="2" t="s">
        <v>309</v>
      </c>
      <c r="B58" s="2" t="s">
        <v>245</v>
      </c>
      <c r="C58" s="2" t="s">
        <v>251</v>
      </c>
      <c r="D58" s="2" t="s">
        <v>310</v>
      </c>
      <c r="E58" s="2" t="s">
        <v>311</v>
      </c>
      <c r="F58" s="2" t="s">
        <v>18</v>
      </c>
      <c r="G58" s="2" t="s">
        <v>19</v>
      </c>
      <c r="H58" s="2" t="s">
        <v>68</v>
      </c>
      <c r="I58" s="2">
        <v>2.0</v>
      </c>
      <c r="J58" s="2" t="s">
        <v>69</v>
      </c>
      <c r="K58" s="2" t="s">
        <v>22</v>
      </c>
      <c r="L58" s="2" t="s">
        <v>23</v>
      </c>
      <c r="M58" s="2" t="s">
        <v>308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:H58">
    <cfRule type="expression" dxfId="4" priority="1">
      <formula>H2="High"</formula>
    </cfRule>
  </conditionalFormatting>
  <conditionalFormatting sqref="H2:H58">
    <cfRule type="expression" dxfId="5" priority="2">
      <formula>H2="Medium"</formula>
    </cfRule>
  </conditionalFormatting>
  <conditionalFormatting sqref="H2:H58">
    <cfRule type="expression" dxfId="6" priority="3">
      <formula>H2="Low"</formula>
    </cfRule>
  </conditionalFormatting>
  <conditionalFormatting sqref="K2:K58">
    <cfRule type="expression" dxfId="7" priority="4">
      <formula>K2="Done"</formula>
    </cfRule>
  </conditionalFormatting>
  <conditionalFormatting sqref="K2:K58">
    <cfRule type="expression" dxfId="8" priority="5">
      <formula>K2="Review"</formula>
    </cfRule>
  </conditionalFormatting>
  <conditionalFormatting sqref="K2:K58">
    <cfRule type="expression" dxfId="9" priority="6">
      <formula>K2="Blocked"</formula>
    </cfRule>
  </conditionalFormatting>
  <dataValidations>
    <dataValidation type="list" allowBlank="1" sqref="L2:L58">
      <formula1>Lists!$F$2:$F$5</formula1>
    </dataValidation>
    <dataValidation type="list" allowBlank="1" sqref="K2:K58">
      <formula1>Lists!$D$2:$D$7</formula1>
    </dataValidation>
    <dataValidation type="list" allowBlank="1" sqref="B2:B58">
      <formula1>Lists!$A$2:$A$5</formula1>
    </dataValidation>
    <dataValidation type="list" allowBlank="1" sqref="F2:F58">
      <formula1>Lists!$B$2:$B$6</formula1>
    </dataValidation>
    <dataValidation type="list" allowBlank="1" sqref="J2:J58">
      <formula1>Lists!$E$2:$E$5</formula1>
    </dataValidation>
    <dataValidation type="list" allowBlank="1" sqref="H2:H58">
      <formula1>Lists!$C$2:$C$4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8.0"/>
    <col customWidth="1" min="3" max="3" width="8.63"/>
    <col customWidth="1" min="4" max="6" width="18.0"/>
    <col customWidth="1" min="7" max="26" width="8.63"/>
  </cols>
  <sheetData>
    <row r="1" ht="24.0" customHeight="1">
      <c r="A1" s="4" t="s">
        <v>312</v>
      </c>
    </row>
    <row r="3">
      <c r="A3" s="5" t="s">
        <v>313</v>
      </c>
      <c r="B3" s="5" t="s">
        <v>314</v>
      </c>
      <c r="D3" s="6" t="s">
        <v>315</v>
      </c>
      <c r="E3" s="6" t="s">
        <v>316</v>
      </c>
      <c r="F3" s="6" t="s">
        <v>317</v>
      </c>
    </row>
    <row r="4">
      <c r="A4" s="7" t="s">
        <v>318</v>
      </c>
      <c r="B4" s="7">
        <f>COUNTA(Sources!A2:A200)</f>
        <v>57</v>
      </c>
      <c r="D4" s="2" t="s">
        <v>14</v>
      </c>
      <c r="E4" s="2">
        <f>COUNTIF(Sources!B:B,D4)</f>
        <v>9</v>
      </c>
      <c r="F4" s="2">
        <f>COUNTIFS(Sources!B:B,D4,Sources!H:H,"High")</f>
        <v>6</v>
      </c>
    </row>
    <row r="5">
      <c r="A5" s="7" t="s">
        <v>319</v>
      </c>
      <c r="B5" s="7">
        <f>COUNTIF(Sources!H2:H200,"High")</f>
        <v>31</v>
      </c>
      <c r="D5" s="2" t="s">
        <v>72</v>
      </c>
      <c r="E5" s="2">
        <f>COUNTIF(Sources!B:B,D5)</f>
        <v>19</v>
      </c>
      <c r="F5" s="2">
        <f>COUNTIFS(Sources!B:B,D5,Sources!H:H,"High")</f>
        <v>13</v>
      </c>
    </row>
    <row r="6">
      <c r="A6" s="7" t="s">
        <v>320</v>
      </c>
      <c r="B6" s="7">
        <f>COUNTIF(Sources!K2:K200,"Review")</f>
        <v>3</v>
      </c>
      <c r="D6" s="2" t="s">
        <v>169</v>
      </c>
      <c r="E6" s="2">
        <f>COUNTIF(Sources!B:B,D6)</f>
        <v>15</v>
      </c>
      <c r="F6" s="2">
        <f>COUNTIFS(Sources!B:B,D6,Sources!H:H,"High")</f>
        <v>5</v>
      </c>
    </row>
    <row r="7">
      <c r="A7" s="7" t="s">
        <v>321</v>
      </c>
      <c r="B7" s="7">
        <f>COUNTIF(Sources!F2:F200,"pdf")+COUNTIF(Sources!F2:F200,"pdf_scan")</f>
        <v>3</v>
      </c>
      <c r="D7" s="2" t="s">
        <v>245</v>
      </c>
      <c r="E7" s="2">
        <f>COUNTIF(Sources!B:B,D7)</f>
        <v>14</v>
      </c>
      <c r="F7" s="2">
        <f>COUNTIFS(Sources!B:B,D7,Sources!H:H,"High")</f>
        <v>7</v>
      </c>
    </row>
    <row r="8">
      <c r="A8" s="7" t="s">
        <v>322</v>
      </c>
      <c r="B8" s="7">
        <f>COUNTIF(Sources!F2:F200,"dynamic_html")</f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20.0"/>
    <col customWidth="1" min="8" max="26" width="8.63"/>
  </cols>
  <sheetData>
    <row r="1" ht="24.0" customHeight="1">
      <c r="A1" s="8" t="s">
        <v>315</v>
      </c>
      <c r="B1" s="8" t="s">
        <v>323</v>
      </c>
      <c r="C1" s="8" t="s">
        <v>324</v>
      </c>
      <c r="D1" s="8" t="s">
        <v>325</v>
      </c>
      <c r="E1" s="8" t="s">
        <v>326</v>
      </c>
      <c r="F1" s="8" t="s">
        <v>327</v>
      </c>
      <c r="G1" s="8" t="s">
        <v>328</v>
      </c>
    </row>
    <row r="2">
      <c r="A2" s="9" t="s">
        <v>14</v>
      </c>
      <c r="B2" s="9" t="s">
        <v>18</v>
      </c>
      <c r="C2" s="9" t="s">
        <v>20</v>
      </c>
      <c r="D2" s="9" t="s">
        <v>22</v>
      </c>
      <c r="E2" s="9" t="s">
        <v>21</v>
      </c>
      <c r="F2" s="9" t="s">
        <v>23</v>
      </c>
      <c r="G2" s="9" t="s">
        <v>19</v>
      </c>
    </row>
    <row r="3">
      <c r="A3" s="9" t="s">
        <v>72</v>
      </c>
      <c r="B3" s="9" t="s">
        <v>49</v>
      </c>
      <c r="C3" s="9" t="s">
        <v>51</v>
      </c>
      <c r="D3" s="9" t="s">
        <v>329</v>
      </c>
      <c r="E3" s="9" t="s">
        <v>52</v>
      </c>
      <c r="F3" s="9" t="s">
        <v>146</v>
      </c>
      <c r="G3" s="9" t="s">
        <v>50</v>
      </c>
    </row>
    <row r="4">
      <c r="A4" s="9" t="s">
        <v>169</v>
      </c>
      <c r="B4" s="9" t="s">
        <v>144</v>
      </c>
      <c r="C4" s="9" t="s">
        <v>68</v>
      </c>
      <c r="D4" s="9" t="s">
        <v>330</v>
      </c>
      <c r="E4" s="9" t="s">
        <v>69</v>
      </c>
      <c r="F4" s="9" t="s">
        <v>331</v>
      </c>
      <c r="G4" s="9" t="s">
        <v>145</v>
      </c>
    </row>
    <row r="5">
      <c r="A5" s="9" t="s">
        <v>245</v>
      </c>
      <c r="B5" s="9" t="s">
        <v>332</v>
      </c>
      <c r="D5" s="9" t="s">
        <v>218</v>
      </c>
      <c r="E5" s="9" t="s">
        <v>192</v>
      </c>
      <c r="F5" s="9" t="s">
        <v>333</v>
      </c>
      <c r="G5" s="9" t="s">
        <v>217</v>
      </c>
    </row>
    <row r="6">
      <c r="B6" s="9" t="s">
        <v>258</v>
      </c>
      <c r="D6" s="9" t="s">
        <v>334</v>
      </c>
      <c r="G6" s="9" t="s">
        <v>224</v>
      </c>
    </row>
    <row r="7">
      <c r="D7" s="9" t="s">
        <v>29</v>
      </c>
      <c r="G7" s="9" t="s">
        <v>259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70.0"/>
    <col customWidth="1" min="3" max="3" width="42.0"/>
    <col customWidth="1" min="4" max="26" width="8.63"/>
  </cols>
  <sheetData>
    <row r="1" ht="24.0" customHeight="1">
      <c r="A1" s="10" t="s">
        <v>335</v>
      </c>
      <c r="B1" s="10" t="s">
        <v>336</v>
      </c>
      <c r="C1" s="10" t="s">
        <v>337</v>
      </c>
    </row>
    <row r="2">
      <c r="A2" s="2" t="s">
        <v>338</v>
      </c>
      <c r="B2" s="2" t="s">
        <v>339</v>
      </c>
      <c r="C2" s="2" t="s">
        <v>340</v>
      </c>
    </row>
    <row r="3">
      <c r="A3" s="2" t="s">
        <v>341</v>
      </c>
      <c r="B3" s="2" t="s">
        <v>342</v>
      </c>
      <c r="C3" s="2" t="s">
        <v>343</v>
      </c>
    </row>
    <row r="4">
      <c r="A4" s="2" t="s">
        <v>344</v>
      </c>
      <c r="B4" s="2" t="s">
        <v>345</v>
      </c>
      <c r="C4" s="2" t="s">
        <v>346</v>
      </c>
    </row>
    <row r="5">
      <c r="A5" s="2" t="s">
        <v>347</v>
      </c>
      <c r="B5" s="2" t="s">
        <v>348</v>
      </c>
      <c r="C5" s="2" t="s">
        <v>349</v>
      </c>
    </row>
    <row r="6">
      <c r="A6" s="2" t="s">
        <v>350</v>
      </c>
      <c r="B6" s="2" t="s">
        <v>351</v>
      </c>
      <c r="C6" s="2" t="s">
        <v>352</v>
      </c>
    </row>
    <row r="7">
      <c r="A7" s="2" t="s">
        <v>353</v>
      </c>
      <c r="B7" s="2" t="s">
        <v>354</v>
      </c>
      <c r="C7" s="2" t="s">
        <v>355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